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den\Desktop\DE\Week5\"/>
    </mc:Choice>
  </mc:AlternateContent>
  <xr:revisionPtr revIDLastSave="0" documentId="13_ncr:1_{CB5F891E-2FA5-4EB3-B373-D15F8FFB8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T2" i="1"/>
  <c r="U2" i="1" s="1"/>
  <c r="AA3" i="1"/>
  <c r="AB3" i="1"/>
  <c r="A2" i="1"/>
  <c r="E2" i="1"/>
  <c r="L2" i="1"/>
  <c r="G2" i="1"/>
  <c r="H2" i="1" s="1"/>
  <c r="F2" i="1"/>
  <c r="K2" i="1"/>
  <c r="I2" i="1"/>
  <c r="AC3" i="1" l="1"/>
  <c r="X2" i="1"/>
  <c r="AA2" i="1" s="1"/>
  <c r="B2" i="1"/>
  <c r="AB2" i="1" l="1"/>
  <c r="AC2" i="1" s="1"/>
  <c r="AG2" i="1"/>
  <c r="AF2" i="1"/>
  <c r="AH2" i="1" l="1"/>
</calcChain>
</file>

<file path=xl/sharedStrings.xml><?xml version="1.0" encoding="utf-8"?>
<sst xmlns="http://schemas.openxmlformats.org/spreadsheetml/2006/main" count="48" uniqueCount="32">
  <si>
    <t>VIL</t>
  </si>
  <si>
    <t>Vout</t>
  </si>
  <si>
    <t>VDD</t>
  </si>
  <si>
    <t>VTP</t>
  </si>
  <si>
    <t>kn/kp</t>
  </si>
  <si>
    <t>Vin</t>
  </si>
  <si>
    <t>WN</t>
  </si>
  <si>
    <t>vsat</t>
  </si>
  <si>
    <t>cox</t>
  </si>
  <si>
    <t>VTN</t>
  </si>
  <si>
    <t>ECN*LN</t>
  </si>
  <si>
    <t>WP/LP</t>
  </si>
  <si>
    <t>up</t>
  </si>
  <si>
    <t>VIH</t>
  </si>
  <si>
    <t>VS</t>
  </si>
  <si>
    <t>chi</t>
  </si>
  <si>
    <t>ECP*LP</t>
  </si>
  <si>
    <t>LHS</t>
  </si>
  <si>
    <t>RHS</t>
  </si>
  <si>
    <t>diff</t>
  </si>
  <si>
    <t>VIN=A2</t>
  </si>
  <si>
    <t>VIN=B2</t>
  </si>
  <si>
    <t>kp/kn</t>
  </si>
  <si>
    <t>WN/LN</t>
  </si>
  <si>
    <t>un</t>
  </si>
  <si>
    <t>WP</t>
  </si>
  <si>
    <t>VOH</t>
  </si>
  <si>
    <t>VOL</t>
  </si>
  <si>
    <t>chi X</t>
  </si>
  <si>
    <t>aprox from class</t>
  </si>
  <si>
    <t>my values</t>
  </si>
  <si>
    <t>doubled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</si>
</sst>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"/>
  <sheetViews>
    <sheetView tabSelected="1" workbookViewId="0">
      <selection activeCell="E7" sqref="E7"/>
    </sheetView>
  </sheetViews>
  <sheetFormatPr defaultRowHeight="14.4" x14ac:dyDescent="0.3"/>
  <cols>
    <col min="9" max="9" width="9.109375" customWidth="1"/>
    <col min="10" max="11" width="10" bestFit="1" customWidth="1"/>
    <col min="32" max="32" width="10.6640625" bestFit="1" customWidth="1"/>
    <col min="33" max="33" width="12" bestFit="1" customWidth="1"/>
    <col min="34" max="34" width="11.6640625" bestFit="1" customWidth="1"/>
  </cols>
  <sheetData>
    <row r="1" spans="1:34" x14ac:dyDescent="0.3">
      <c r="A1" t="s">
        <v>0</v>
      </c>
      <c r="B1" t="s">
        <v>13</v>
      </c>
      <c r="D1" t="s">
        <v>2</v>
      </c>
      <c r="E1" t="s">
        <v>3</v>
      </c>
      <c r="F1" t="s">
        <v>9</v>
      </c>
      <c r="G1" t="s">
        <v>4</v>
      </c>
      <c r="H1" t="s">
        <v>22</v>
      </c>
      <c r="I1" t="s">
        <v>6</v>
      </c>
      <c r="J1" t="s">
        <v>25</v>
      </c>
      <c r="K1" t="s">
        <v>7</v>
      </c>
      <c r="L1" t="s">
        <v>8</v>
      </c>
      <c r="M1" t="s">
        <v>10</v>
      </c>
      <c r="N1" t="s">
        <v>16</v>
      </c>
      <c r="O1" t="s">
        <v>23</v>
      </c>
      <c r="P1" t="s">
        <v>11</v>
      </c>
      <c r="Q1" t="s">
        <v>24</v>
      </c>
      <c r="R1" t="s">
        <v>12</v>
      </c>
      <c r="T1" t="s">
        <v>28</v>
      </c>
      <c r="U1" t="s">
        <v>14</v>
      </c>
      <c r="W1" t="s">
        <v>1</v>
      </c>
      <c r="X1" t="s">
        <v>5</v>
      </c>
      <c r="Z1" t="s">
        <v>0</v>
      </c>
      <c r="AA1" t="s">
        <v>17</v>
      </c>
      <c r="AB1" t="s">
        <v>18</v>
      </c>
      <c r="AC1" t="s">
        <v>19</v>
      </c>
      <c r="AE1" t="s">
        <v>13</v>
      </c>
      <c r="AF1" t="s">
        <v>17</v>
      </c>
      <c r="AG1" t="s">
        <v>18</v>
      </c>
      <c r="AH1" t="s">
        <v>19</v>
      </c>
    </row>
    <row r="2" spans="1:34" x14ac:dyDescent="0.3">
      <c r="A2">
        <f>(2*W2-D2-ABS(E2)+(G2*F2))/(1+G2)</f>
        <v>0.53621206538783883</v>
      </c>
      <c r="B2">
        <f>(2*W2+F2+H2*(D2-ABS(E2)))/(1+H2)</f>
        <v>2.116353234119055</v>
      </c>
      <c r="D2">
        <v>1.2</v>
      </c>
      <c r="E2">
        <f>-0.4</f>
        <v>-0.4</v>
      </c>
      <c r="F2">
        <f>ABS(0.4)</f>
        <v>0.4</v>
      </c>
      <c r="G2">
        <f>(3*270)/(6*70)</f>
        <v>1.9285714285714286</v>
      </c>
      <c r="H2">
        <f>1/G2</f>
        <v>0.51851851851851849</v>
      </c>
      <c r="I2">
        <f>0.3*10^-6</f>
        <v>2.9999999999999999E-7</v>
      </c>
      <c r="J2">
        <f>2*0.6*10^-6</f>
        <v>1.1999999999999999E-6</v>
      </c>
      <c r="K2">
        <f>8*10^6</f>
        <v>8000000</v>
      </c>
      <c r="L2">
        <f>1.6*10^-6</f>
        <v>1.5999999999999999E-6</v>
      </c>
      <c r="M2">
        <v>0.6</v>
      </c>
      <c r="N2">
        <v>2.4</v>
      </c>
      <c r="O2">
        <v>3</v>
      </c>
      <c r="P2">
        <v>12</v>
      </c>
      <c r="Q2">
        <v>270</v>
      </c>
      <c r="R2">
        <v>70</v>
      </c>
      <c r="T2">
        <f>SQRT((I2/M2)/(J2/N2))</f>
        <v>1</v>
      </c>
      <c r="U2">
        <f>(D2-ABS(E2)+T2*F2)/(1+T2)</f>
        <v>0.6</v>
      </c>
      <c r="W2">
        <v>1.199453381460764</v>
      </c>
      <c r="X2">
        <f>A2</f>
        <v>0.53621206538783883</v>
      </c>
      <c r="Z2" t="s">
        <v>20</v>
      </c>
      <c r="AA2">
        <f>10^10*(I2*K2*L2*(X2-F2)^2)/((X2-F2)+M2)</f>
        <v>967.7416888053225</v>
      </c>
      <c r="AB2">
        <f>10^10*P2*R2*L2/(1+((D2-W2)/N2))*((D2-X2-ABS(E2))*(D2-W2)-((D2-W2)^2)/2)</f>
        <v>1935.4833841567458</v>
      </c>
      <c r="AC2">
        <f>AA2-AB2</f>
        <v>-967.74169535142335</v>
      </c>
      <c r="AE2" t="s">
        <v>21</v>
      </c>
      <c r="AF2">
        <f>10^10*O2*Q2*L2/(1+(W2/M2))*((X2-F2)*W2-((W2^2)/2))</f>
        <v>-2402494.8603566978</v>
      </c>
      <c r="AG2">
        <f>10^10*(J2*K2*L2*(D2-X2-ABS(E2))^2)/((D2-X2-ABS(E2))+N2)</f>
        <v>4012.3741444183847</v>
      </c>
      <c r="AH2">
        <f>AF2-AG2</f>
        <v>-2406507.234501116</v>
      </c>
    </row>
    <row r="3" spans="1:34" x14ac:dyDescent="0.3">
      <c r="AA3">
        <f>10^10*(I2*K2*L2*(((2*W2-D2-ABS(E2)+(G2*F2))/(1+G2))-F2)^2)/((((2*W2-D2-ABS(E2)+(G2*F2))/(1+G2))-F2)+M2)</f>
        <v>967.7416888053225</v>
      </c>
      <c r="AB3">
        <f>10^10*P2*R2*L2/(1+((D2-W2)/N2))*((D2-((2*W2-D2-ABS(E2)+(G2*F2))/(1+G2))-ABS(E2))*(D2-W2)-((D2-W2)^2)/2)</f>
        <v>1935.4833841567458</v>
      </c>
      <c r="AC3">
        <f>AA3-AB3</f>
        <v>-967.74169535142335</v>
      </c>
    </row>
    <row r="5" spans="1:34" x14ac:dyDescent="0.3">
      <c r="A5" t="s">
        <v>29</v>
      </c>
      <c r="D5" t="s">
        <v>30</v>
      </c>
    </row>
    <row r="6" spans="1:34" x14ac:dyDescent="0.3">
      <c r="A6" t="s">
        <v>0</v>
      </c>
      <c r="B6" t="s">
        <v>1</v>
      </c>
      <c r="D6" t="s">
        <v>0</v>
      </c>
      <c r="E6" t="s">
        <v>26</v>
      </c>
    </row>
    <row r="7" spans="1:34" x14ac:dyDescent="0.3">
      <c r="A7">
        <v>0.51100000000000001</v>
      </c>
      <c r="B7">
        <v>1.1599999999999999</v>
      </c>
      <c r="D7">
        <v>0.53621206544423272</v>
      </c>
      <c r="E7">
        <v>1.1994533815433408</v>
      </c>
    </row>
    <row r="9" spans="1:34" x14ac:dyDescent="0.3">
      <c r="A9" t="s">
        <v>13</v>
      </c>
      <c r="B9" t="s">
        <v>1</v>
      </c>
      <c r="D9" t="s">
        <v>13</v>
      </c>
      <c r="E9" t="s">
        <v>27</v>
      </c>
    </row>
    <row r="10" spans="1:34" x14ac:dyDescent="0.3">
      <c r="A10">
        <v>0.6</v>
      </c>
      <c r="B10">
        <v>0.05</v>
      </c>
      <c r="D10">
        <v>0.53805131047634924</v>
      </c>
      <c r="E10">
        <v>1.11303202833931E-3</v>
      </c>
    </row>
    <row r="12" spans="1:34" x14ac:dyDescent="0.3">
      <c r="A12" t="s">
        <v>14</v>
      </c>
      <c r="B12" t="s">
        <v>15</v>
      </c>
      <c r="D12" t="s">
        <v>28</v>
      </c>
      <c r="E12" t="s">
        <v>14</v>
      </c>
    </row>
    <row r="13" spans="1:34" x14ac:dyDescent="0.3">
      <c r="A13">
        <v>0.56999999999999995</v>
      </c>
      <c r="B13">
        <v>1.4</v>
      </c>
      <c r="D13">
        <v>1.4142135623730951</v>
      </c>
      <c r="E13">
        <v>0.56568542494923801</v>
      </c>
    </row>
    <row r="15" spans="1:34" x14ac:dyDescent="0.3">
      <c r="D15" t="s">
        <v>28</v>
      </c>
      <c r="E15" t="s">
        <v>14</v>
      </c>
      <c r="F15" t="s">
        <v>31</v>
      </c>
    </row>
    <row r="16" spans="1:34" x14ac:dyDescent="0.3">
      <c r="D16">
        <v>1</v>
      </c>
      <c r="E16">
        <v>0.6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Fuller, Hayden</cp:lastModifiedBy>
  <cp:revision/>
  <dcterms:created xsi:type="dcterms:W3CDTF">2026-02-11T14:18:51Z</dcterms:created>
  <dcterms:modified xsi:type="dcterms:W3CDTF">2026-02-13T15:05:14Z</dcterms:modified>
  <cp:category/>
  <cp:contentStatus/>
</cp:coreProperties>
</file>